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Twisha\Downloads\"/>
    </mc:Choice>
  </mc:AlternateContent>
  <xr:revisionPtr revIDLastSave="0" documentId="13_ncr:1_{2F53A6AB-F10F-4C8E-9919-5544099DC41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ummary Dashboard" sheetId="1" r:id="rId1"/>
    <sheet name="Test Cases" sheetId="2" r:id="rId2"/>
    <sheet name="Bug Report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5" i="1" l="1"/>
  <c r="F15" i="1"/>
  <c r="E15" i="1"/>
  <c r="D15" i="1"/>
  <c r="C15" i="1"/>
  <c r="G14" i="1"/>
  <c r="G13" i="1"/>
  <c r="G12" i="1"/>
  <c r="G15" i="1" l="1"/>
</calcChain>
</file>

<file path=xl/sharedStrings.xml><?xml version="1.0" encoding="utf-8"?>
<sst xmlns="http://schemas.openxmlformats.org/spreadsheetml/2006/main" count="569" uniqueCount="336">
  <si>
    <t>OrangeHRM – Bug Report Log</t>
  </si>
  <si>
    <t>Prepared by: Twisha Aggarwal  |  Project: OrangeHRM Demo  |  Yellow cells = fill after testing</t>
  </si>
  <si>
    <t>Bug ID</t>
  </si>
  <si>
    <t>Related TC</t>
  </si>
  <si>
    <t>Module</t>
  </si>
  <si>
    <t>Bug Title</t>
  </si>
  <si>
    <t>Description</t>
  </si>
  <si>
    <t>Steps to Reproduce</t>
  </si>
  <si>
    <t>Expected Result</t>
  </si>
  <si>
    <t>Actual Result</t>
  </si>
  <si>
    <t>Severity</t>
  </si>
  <si>
    <t>Priority</t>
  </si>
  <si>
    <t>Status</t>
  </si>
  <si>
    <t>Reported By</t>
  </si>
  <si>
    <t>BUG_001</t>
  </si>
  <si>
    <t>TC_LGN_02</t>
  </si>
  <si>
    <t>Login</t>
  </si>
  <si>
    <t>High</t>
  </si>
  <si>
    <t>Open</t>
  </si>
  <si>
    <t>Twisha Aggarwal</t>
  </si>
  <si>
    <t>TC_LGN_10</t>
  </si>
  <si>
    <t>TC_PIM_02</t>
  </si>
  <si>
    <t>Employee Management</t>
  </si>
  <si>
    <t>Medium</t>
  </si>
  <si>
    <t>TC_LVE_02</t>
  </si>
  <si>
    <t>Leave Management</t>
  </si>
  <si>
    <t>TC_LVE_05</t>
  </si>
  <si>
    <t>OrangeHRM Manual Testing – Summary Dashboard</t>
  </si>
  <si>
    <t>Tester Name:</t>
  </si>
  <si>
    <t>Project:</t>
  </si>
  <si>
    <t>OrangeHRM Demo – Manual Testing</t>
  </si>
  <si>
    <t>Application URL:</t>
  </si>
  <si>
    <t>opensource-demo.orangehrmlive.com</t>
  </si>
  <si>
    <t>Test Environment:</t>
  </si>
  <si>
    <t>Chrome Browser / Windows</t>
  </si>
  <si>
    <t>Test Start Date:</t>
  </si>
  <si>
    <t>Test End Date:</t>
  </si>
  <si>
    <t>Document Version:</t>
  </si>
  <si>
    <t>1.0</t>
  </si>
  <si>
    <t>Total TCs</t>
  </si>
  <si>
    <t>Pass</t>
  </si>
  <si>
    <t>Fail</t>
  </si>
  <si>
    <t>Pending</t>
  </si>
  <si>
    <t>Blocked</t>
  </si>
  <si>
    <t>Pass %</t>
  </si>
  <si>
    <t>TOTAL</t>
  </si>
  <si>
    <t>OrangeHRM – Manual Testing | Test Case Document</t>
  </si>
  <si>
    <t>Prepared by: Twisha Aggarwal  |  Application: OrangeHRM Demo  |  URL: opensource-demo.orangehrmlive.com  |  Version: 1.0</t>
  </si>
  <si>
    <t>TC ID</t>
  </si>
  <si>
    <t>Sub-Module</t>
  </si>
  <si>
    <t>Test Case Title</t>
  </si>
  <si>
    <t>Preconditions</t>
  </si>
  <si>
    <t>Test Steps</t>
  </si>
  <si>
    <t>Test Data</t>
  </si>
  <si>
    <t>TC_LGN_01</t>
  </si>
  <si>
    <t>Valid Login</t>
  </si>
  <si>
    <t>Login with valid credentials</t>
  </si>
  <si>
    <t>App is open at login page</t>
  </si>
  <si>
    <t>1. Navigate to demo URL
2. Enter Username: Admin
3. Enter Password: admin123
4. Click Login</t>
  </si>
  <si>
    <t>Username: Admin
Password: admin123</t>
  </si>
  <si>
    <t>User is redirected to the Dashboard page successfully</t>
  </si>
  <si>
    <t>Invalid Password</t>
  </si>
  <si>
    <t>Login with correct username but wrong password</t>
  </si>
  <si>
    <t>1. Enter Username: Admin
2. Enter Password: wrongpass
3. Click Login</t>
  </si>
  <si>
    <t>Username: Admin
Password: wrongpass</t>
  </si>
  <si>
    <t>Error message displayed: 'Invalid credentials'</t>
  </si>
  <si>
    <t>TC_LGN_03</t>
  </si>
  <si>
    <t>Invalid Username</t>
  </si>
  <si>
    <t>Login with wrong username</t>
  </si>
  <si>
    <t>1. Enter Username: fakeuser
2. Enter Password: admin123
3. Click Login</t>
  </si>
  <si>
    <t>Username: fakeuser
Password: admin123</t>
  </si>
  <si>
    <t>TC_LGN_04</t>
  </si>
  <si>
    <t>Empty Fields</t>
  </si>
  <si>
    <t>Submit login form with both fields empty</t>
  </si>
  <si>
    <t>1. Leave Username blank
2. Leave Password blank
3. Click Login</t>
  </si>
  <si>
    <t>Username: (blank)
Password: (blank)</t>
  </si>
  <si>
    <t>Validation messages shown for both required fields</t>
  </si>
  <si>
    <t>TC_LGN_05</t>
  </si>
  <si>
    <t>Empty Username</t>
  </si>
  <si>
    <t>Submit with only password filled</t>
  </si>
  <si>
    <t>1. Leave Username blank
2. Enter Password: admin123
3. Click Login</t>
  </si>
  <si>
    <t>Username: (blank)
Password: admin123</t>
  </si>
  <si>
    <t>Validation message shown for Username field</t>
  </si>
  <si>
    <t>TC_LGN_06</t>
  </si>
  <si>
    <t>Empty Password</t>
  </si>
  <si>
    <t>Submit with only username filled</t>
  </si>
  <si>
    <t>1. Enter Username: Admin
2. Leave Password blank
3. Click Login</t>
  </si>
  <si>
    <t>Username: Admin
Password: (blank)</t>
  </si>
  <si>
    <t>Validation message shown for Password field</t>
  </si>
  <si>
    <t>TC_LGN_07</t>
  </si>
  <si>
    <t>Case Sensitivity</t>
  </si>
  <si>
    <t>Login with username in lowercase</t>
  </si>
  <si>
    <t>1. Enter Username: admin (lowercase)
2. Enter Password: admin123
3. Click Login</t>
  </si>
  <si>
    <t>Username: admin
Password: admin123</t>
  </si>
  <si>
    <t>System either logs in OR shows 'Invalid credentials' (consistent behavior expected)</t>
  </si>
  <si>
    <t>Low</t>
  </si>
  <si>
    <t>TC_LGN_08</t>
  </si>
  <si>
    <t>Password Masking</t>
  </si>
  <si>
    <t>Verify password is masked on input</t>
  </si>
  <si>
    <t>1. Click on Password field
2. Type any characters
3. Observe display</t>
  </si>
  <si>
    <t>Password: testpass</t>
  </si>
  <si>
    <t>Password characters are displayed as dots/asterisks</t>
  </si>
  <si>
    <t>TC_LGN_09</t>
  </si>
  <si>
    <t>Forgot Password</t>
  </si>
  <si>
    <t>Verify Forgot Password link navigates correctly</t>
  </si>
  <si>
    <t>1. Click 'Forgot your password?' link
2. Observe page</t>
  </si>
  <si>
    <t>N/A</t>
  </si>
  <si>
    <t>User is navigated to the Reset Password page</t>
  </si>
  <si>
    <t>SQL Injection</t>
  </si>
  <si>
    <t>Enter SQL injection in username field</t>
  </si>
  <si>
    <t>1. Enter Username: ' OR '1'='1
2. Enter Password: anything
3. Click Login</t>
  </si>
  <si>
    <t>Username: ' OR '1'='1</t>
  </si>
  <si>
    <t>System rejects input; no unauthorized login occurs</t>
  </si>
  <si>
    <t>TC_LGN_11</t>
  </si>
  <si>
    <t>Logout Functionality</t>
  </si>
  <si>
    <t>Verify user can log out successfully</t>
  </si>
  <si>
    <t>User is logged in</t>
  </si>
  <si>
    <t>1. Click on user avatar (top right)
2. Click Logout
3. Observe</t>
  </si>
  <si>
    <t>User is logged out and redirected to the Login page</t>
  </si>
  <si>
    <t>TC_LGN_12</t>
  </si>
  <si>
    <t>Session Expiry</t>
  </si>
  <si>
    <t>Verify back button does not re-enter after logout</t>
  </si>
  <si>
    <t>User has logged out</t>
  </si>
  <si>
    <t>1. Click browser Back button after logout</t>
  </si>
  <si>
    <t>User is NOT taken back to the dashboard; stays on login page</t>
  </si>
  <si>
    <t>TC_PIM_01</t>
  </si>
  <si>
    <t>Add Employee</t>
  </si>
  <si>
    <t>Add a new employee with all required fields</t>
  </si>
  <si>
    <t>User logged in as Admin
Navigate to PIM &gt; Add Employee</t>
  </si>
  <si>
    <t>1. Go to PIM &gt; Add Employee
2. Enter First Name: Test
3. Enter Last Name: User
4. Note auto-generated Employee ID
5. Click Save</t>
  </si>
  <si>
    <t>First Name: Test
Last Name: User</t>
  </si>
  <si>
    <t>Employee is saved successfully; profile page opens</t>
  </si>
  <si>
    <t>Submit Add Employee form with blank First Name</t>
  </si>
  <si>
    <t>User on Add Employee page</t>
  </si>
  <si>
    <t>1. Leave First Name blank
2. Enter Last Name: User
3. Click Save</t>
  </si>
  <si>
    <t>First Name: (blank)
Last Name: User</t>
  </si>
  <si>
    <t>Validation error shown: 'Required' for First Name</t>
  </si>
  <si>
    <t>TC_PIM_03</t>
  </si>
  <si>
    <t>Submit Add Employee form with blank Last Name</t>
  </si>
  <si>
    <t>1. Enter First Name: Test
2. Leave Last Name blank
3. Click Save</t>
  </si>
  <si>
    <t>First Name: Test
Last Name: (blank)</t>
  </si>
  <si>
    <t>Validation error shown: 'Required' for Last Name</t>
  </si>
  <si>
    <t>TC_PIM_04</t>
  </si>
  <si>
    <t>Add employee with duplicate Employee ID</t>
  </si>
  <si>
    <t>1. Toggle 'Create Login Details'
2. Enter an Employee ID that already exists
3. Click Save</t>
  </si>
  <si>
    <t>Employee ID: (existing ID)</t>
  </si>
  <si>
    <t>Error shown: 'Employee Id already exists'</t>
  </si>
  <si>
    <t>TC_PIM_05</t>
  </si>
  <si>
    <t>Search Employee</t>
  </si>
  <si>
    <t>Search employee by valid name</t>
  </si>
  <si>
    <t>User logged in
At least one employee exists</t>
  </si>
  <si>
    <t>1. Go to PIM &gt; Employee List
2. Enter employee name in search
3. Click Search</t>
  </si>
  <si>
    <t>Employee Name: Test User</t>
  </si>
  <si>
    <t>Matching employee record(s) displayed in results</t>
  </si>
  <si>
    <t>TC_PIM_06</t>
  </si>
  <si>
    <t>Search employee with name that does not exist</t>
  </si>
  <si>
    <t>User on Employee List page</t>
  </si>
  <si>
    <t>1. Enter Name: XYZNOTEXIST
2. Click Search</t>
  </si>
  <si>
    <t>Employee Name: XYZNOTEXIST</t>
  </si>
  <si>
    <t>Message shown: 'No Records Found'</t>
  </si>
  <si>
    <t>TC_PIM_07</t>
  </si>
  <si>
    <t>Search with blank fields (search all)</t>
  </si>
  <si>
    <t>1. Leave all search fields blank
2. Click Search</t>
  </si>
  <si>
    <t>All fields: (blank)</t>
  </si>
  <si>
    <t>All employee records are displayed</t>
  </si>
  <si>
    <t>TC_PIM_08</t>
  </si>
  <si>
    <t>Edit Employee</t>
  </si>
  <si>
    <t>Edit an existing employee's personal details</t>
  </si>
  <si>
    <t>Employee record exists</t>
  </si>
  <si>
    <t>1. Search and open employee profile
2. Edit First Name
3. Click Save</t>
  </si>
  <si>
    <t>Updated First Name: Updated</t>
  </si>
  <si>
    <t>Record updated successfully; success toast message shown</t>
  </si>
  <si>
    <t>TC_PIM_09</t>
  </si>
  <si>
    <t>Delete Employee</t>
  </si>
  <si>
    <t>Delete an existing employee record</t>
  </si>
  <si>
    <t>1. Go to Employee List
2. Select employee checkbox
3. Click Delete button
4. Confirm deletion</t>
  </si>
  <si>
    <t>Employee is deleted; removed from list</t>
  </si>
  <si>
    <t>TC_PIM_10</t>
  </si>
  <si>
    <t>Upload Photo</t>
  </si>
  <si>
    <t>Upload a valid profile photo</t>
  </si>
  <si>
    <t>Employee profile is open</t>
  </si>
  <si>
    <t>1. Click on profile photo area
2. Upload a .jpg file under 1MB
3. Save</t>
  </si>
  <si>
    <t>File: valid .jpg &lt; 1MB</t>
  </si>
  <si>
    <t>Photo uploaded and displayed on profile</t>
  </si>
  <si>
    <t>TC_PIM_11</t>
  </si>
  <si>
    <t>Upload an invalid file type as profile photo</t>
  </si>
  <si>
    <t>1. Click on profile photo area
2. Try to upload a .pdf file</t>
  </si>
  <si>
    <t>File: document.pdf</t>
  </si>
  <si>
    <t>Error shown: invalid file type</t>
  </si>
  <si>
    <t>TC_LVE_01</t>
  </si>
  <si>
    <t>Apply Leave</t>
  </si>
  <si>
    <t>Apply for leave with valid future dates</t>
  </si>
  <si>
    <t>User logged in
Leave balance available</t>
  </si>
  <si>
    <t>1. Go to Leave &gt; Apply
2. Select Leave Type: Annual Leave
3. Set From Date: future date
4. Set To Date: future date
5. Add Comment
6. Click Apply</t>
  </si>
  <si>
    <t>Leave Type: Annual Leave
Dates: valid future range</t>
  </si>
  <si>
    <t>Leave request submitted; status shown as 'Pending Approval'</t>
  </si>
  <si>
    <t>Apply leave with From Date after To Date</t>
  </si>
  <si>
    <t>User on Apply Leave page</t>
  </si>
  <si>
    <t>1. Select Leave Type
2. Set From Date: 2025-12-31
3. Set To Date: 2025-12-01
4. Click Apply</t>
  </si>
  <si>
    <t>From Date: 2025-12-31
To Date: 2025-12-01</t>
  </si>
  <si>
    <t>Validation error: 'To date must be after From date'</t>
  </si>
  <si>
    <t>TC_LVE_03</t>
  </si>
  <si>
    <t>Apply leave without selecting Leave Type</t>
  </si>
  <si>
    <t>1. Leave Leave Type blank
2. Set valid dates
3. Click Apply</t>
  </si>
  <si>
    <t>Leave Type: (not selected)</t>
  </si>
  <si>
    <t>Validation error: Leave Type is required</t>
  </si>
  <si>
    <t>TC_LVE_04</t>
  </si>
  <si>
    <t>Apply leave for a past date</t>
  </si>
  <si>
    <t>1. Select Leave Type
2. Set From Date to yesterday
3. Set To Date to yesterday
4. Click Apply</t>
  </si>
  <si>
    <t>Dates: past date</t>
  </si>
  <si>
    <t>System either prevents submission or shows a warning</t>
  </si>
  <si>
    <t>Apply leave when balance is zero</t>
  </si>
  <si>
    <t>User on Apply Leave page
Leave balance = 0</t>
  </si>
  <si>
    <t>1. Select Leave Type with 0 balance
2. Set dates
3. Click Apply</t>
  </si>
  <si>
    <t>Leave balance: 0 days</t>
  </si>
  <si>
    <t>Error shown: 'Leave balance not sufficient'</t>
  </si>
  <si>
    <t>TC_LVE_06</t>
  </si>
  <si>
    <t>Leave List</t>
  </si>
  <si>
    <t>View leave requests list</t>
  </si>
  <si>
    <t>User logged in</t>
  </si>
  <si>
    <t>1. Go to Leave &gt; My Leave
2. Observe the list</t>
  </si>
  <si>
    <t>All submitted leave requests displayed with correct status</t>
  </si>
  <si>
    <t>TC_LVE_07</t>
  </si>
  <si>
    <t>Cancel Leave</t>
  </si>
  <si>
    <t>Cancel a pending leave request</t>
  </si>
  <si>
    <t>At least one Pending leave request exists</t>
  </si>
  <si>
    <t>1. Go to Leave &gt; My Leave
2. Click on a Pending request
3. Click Cancel</t>
  </si>
  <si>
    <t>Leave status changes to 'Cancelled'</t>
  </si>
  <si>
    <t>TC_LVE_08</t>
  </si>
  <si>
    <t>Leave Entitlement</t>
  </si>
  <si>
    <t>View leave entitlement for current year</t>
  </si>
  <si>
    <t>User logged in as Admin</t>
  </si>
  <si>
    <t>1. Go to Leave &gt; Entitlements &gt; My Entitlements
2. Observe</t>
  </si>
  <si>
    <t>Leave entitlements for all leave types displayed with correct balances</t>
  </si>
  <si>
    <t>TC_LVE_09</t>
  </si>
  <si>
    <t>Apply leave with a comment exceeding limit</t>
  </si>
  <si>
    <t>1. Paste 300+ character comment
2. Fill other fields
3. Click Apply</t>
  </si>
  <si>
    <t>Comment: 300+ characters</t>
  </si>
  <si>
    <t>System either truncates or shows max-length validation message</t>
  </si>
  <si>
    <t>TC_LVE_10</t>
  </si>
  <si>
    <t>Apply leave on a public holiday</t>
  </si>
  <si>
    <t>1. Set From/To Date to a defined public holiday
2. Click Apply</t>
  </si>
  <si>
    <t>Dates: public holiday</t>
  </si>
  <si>
    <t>System warns or blocks: 'Selected date is a public holiday'</t>
  </si>
  <si>
    <t>PASS</t>
  </si>
  <si>
    <t>System logs in</t>
  </si>
  <si>
    <t>System displayed 'Invalid credentials' error. No unauthorized access granted. SQL injection attempt was unsuccessful.</t>
  </si>
  <si>
    <t>After logout, clicking the browser Back button redirected to the Dashboard without requiring re-authentication. User remained logged in.</t>
  </si>
  <si>
    <t>FAIL</t>
  </si>
  <si>
    <t>TC_LGN_13</t>
  </si>
  <si>
    <t>TC_LGN_14</t>
  </si>
  <si>
    <t>TC_LGN_15</t>
  </si>
  <si>
    <t>TC_LGN_16</t>
  </si>
  <si>
    <t>TC_LGN_17</t>
  </si>
  <si>
    <t>Whitespace Fields</t>
  </si>
  <si>
    <t>Login with only whitespace in Username field</t>
  </si>
  <si>
    <t>1. Enter only spaces in Username field                        2. Enter Password: admin123                                                   3. Click Login</t>
  </si>
  <si>
    <t>Username: " " (spaces only), Password: admin123</t>
  </si>
  <si>
    <t>System should reject input and show validation error; login should not proceed</t>
  </si>
  <si>
    <t>Login with only whitespace in Password field</t>
  </si>
  <si>
    <t>1. Enter Username: Admin                                          2. Enter only spaces in Password field.                                                 3. Click Login</t>
  </si>
  <si>
    <t>Username: Admin           Password: " "(spaces only)</t>
  </si>
  <si>
    <t>Maximum Character Limit</t>
  </si>
  <si>
    <t>Login with username/password exceeding maximum character limit</t>
  </si>
  <si>
    <t>1. Paste 300 characters into Username field               2. Paste 300 characters into Password field               3. Click Login</t>
  </si>
  <si>
    <t>Username: "AAAA…" (300 chars), Password: "BBBB…" (300 chars)</t>
  </si>
  <si>
    <t>System should either restrict input beyond the limit OR show a clear validation error; should not crash</t>
  </si>
  <si>
    <t>Copy-Paste into Password Field</t>
  </si>
  <si>
    <t>Verify password can be entered via copy-paste</t>
  </si>
  <si>
    <t>1. Copy the text "admin123" from clipboard                2. Click Password field                                                 3. Paste using Ctrl+V                                                  4. Enter Username: Admin                                           5. Click Login</t>
  </si>
  <si>
    <t>Username: Admin, Password: admin123 (pasted)</t>
  </si>
  <si>
    <t>Password is accepted via paste and login is successful; characters remain masked</t>
  </si>
  <si>
    <t>Login Button Hover Color Change</t>
  </si>
  <si>
    <t>Verify Login button changes color on hover</t>
  </si>
  <si>
    <t>1. Navigate to Login page                                            2. Hover mouse cursor over the Login button                 3. Observe button appearance</t>
  </si>
  <si>
    <t>Login button should display a visible color/style change on hover, indicating it is interactive</t>
  </si>
  <si>
    <t>System rejected the input and displayed validation error.</t>
  </si>
  <si>
    <t>System displayed a validation error, did not crash.</t>
  </si>
  <si>
    <t>Login button displayed a visible color on hover, indicating it is interactive.</t>
  </si>
  <si>
    <t>TC_PIM_12</t>
  </si>
  <si>
    <t>TC_PIM_13</t>
  </si>
  <si>
    <t>TC_PIM_14</t>
  </si>
  <si>
    <t>TC_PIM_15</t>
  </si>
  <si>
    <t>Duplicate Username When Creating Login</t>
  </si>
  <si>
    <t>Add employee with a username that already exists in the system</t>
  </si>
  <si>
    <t>1. Go to PIM &gt; Add Employee                                                       2. Fill First Name and Last Name                                               3. Toggle "Create Login Details" ON                                       4. Enter a username that already exists (e.g. "Admin") 5. Set password                                                                                  6. Click Save</t>
  </si>
  <si>
    <t>First Name: Test, Last Name: User, Username: Admin (existing)</t>
  </si>
  <si>
    <t>System should display an error: "Username already exists" and prevent saving</t>
  </si>
  <si>
    <t>Search by Partial Name</t>
  </si>
  <si>
    <t>Search for an employee using partial/incomplete name</t>
  </si>
  <si>
    <t>1. Go to PIM &gt; Employee List                                                        2. Enter first 2-3 letters of an existing employee's name in the Name field                                                                     3. Click Search</t>
  </si>
  <si>
    <t>Employee Name: first 3 letters of a known employee (e.g. "Tes")</t>
  </si>
  <si>
    <t>All employees whose names contain the entered partial string are displayed in results</t>
  </si>
  <si>
    <t>Delete Multiple Employees at Once</t>
  </si>
  <si>
    <t>Select and delete multiple employee records simultaneously</t>
  </si>
  <si>
    <t>1. Go to PIM &gt; Employee List                                                        2. Select checkboxes for 2 or more employees              3. Click the Delete button                                                              4. Confirm deletion in the dialog</t>
  </si>
  <si>
    <t>At least 2 existing employee records</t>
  </si>
  <si>
    <t>All selected employees are deleted; success message shown; records no longer appear in the list.</t>
  </si>
  <si>
    <t>Verify Deleted Employee No Longer Appears in Search</t>
  </si>
  <si>
    <t>Confirm deleted employee record is removed from search results</t>
  </si>
  <si>
    <t>1. Note the name of an existing employee                          2. Delete that employee (follow TC_PIM_09 or TC_PIM_14)                                                                                           3. Go to Employee List                                                                    4. Search for the deleted employee's name</t>
  </si>
  <si>
    <t>Name of a recently deleted employee</t>
  </si>
  <si>
    <t>Search returns "No Records Found" — deleted employee is completely removed from the system</t>
  </si>
  <si>
    <t>Employee records exist.</t>
  </si>
  <si>
    <t>System shows : "Should not exceed 250 words" message.</t>
  </si>
  <si>
    <t>System displayed:"No working day selected".</t>
  </si>
  <si>
    <t>TC_LVE_11</t>
  </si>
  <si>
    <t>TC_LVE_12</t>
  </si>
  <si>
    <t>TC_LVE_13</t>
  </si>
  <si>
    <t>TC_LVE_14</t>
  </si>
  <si>
    <t>Apply Leave on a Weekend</t>
  </si>
  <si>
    <t>1. Go to Leave &gt; Apply                                                                    2. Select Leave Type: Annual Leave                                    3. Set both From and To Date to an upcoming Saturday                                                                                                   4. Click Apply</t>
  </si>
  <si>
    <t>From Date: nearest Saturday, To Date: same Saturday</t>
  </si>
  <si>
    <t>System should warn or block: "Selected dates fall on a non-working day"</t>
  </si>
  <si>
    <t>Negative/Zero in Duration Field</t>
  </si>
  <si>
    <t>Enter zero or negative value in duration/hours field</t>
  </si>
  <si>
    <t>1. Go to Leave &gt; Apply                                                                     2. Select Leave Type                                                                      3. Set From and To Date to same day                                   4. If duration field appears, manually type 0 or -1             5. Click Apply</t>
  </si>
  <si>
    <t>Duration: 0 or -1</t>
  </si>
  <si>
    <t>System should reject input with validation error: "Duration must be greater than zero"</t>
  </si>
  <si>
    <t>System rejected the input and displayed "To time should be after from time"</t>
  </si>
  <si>
    <t>Same Day Leave</t>
  </si>
  <si>
    <t>Apply leave with From Date set to today's date</t>
  </si>
  <si>
    <t>1. Go to Leave &gt; Apply                                                                    2. Select Leave Type: Annual Leave                                    3. Set From Date and To Date both to today's date                   4. Click Apply</t>
  </si>
  <si>
    <t>From Date: today, To Date: today</t>
  </si>
  <si>
    <t>System should either allow same-day leave OR display a clear policy message explaining it is not permitted</t>
  </si>
  <si>
    <t>System displayed:"No working day selected"(since today is Sunday)</t>
  </si>
  <si>
    <t>Edit Leave Before Approval</t>
  </si>
  <si>
    <t>Attempt to edit a pending leave request before it is approved</t>
  </si>
  <si>
    <t>1. Apply for a leave (follow TC_LVE_01)                                2. Immediately go to Leave &gt; My Leave                               3. Click on the pending request                                                4. Attempt to modify the dates or comment                       5. Click Save/Update</t>
  </si>
  <si>
    <t>An existing Pending leave request</t>
  </si>
  <si>
    <t>System should either allow editing of pending requests OR clearly disable the edit option with an explanation</t>
  </si>
  <si>
    <t>System successfully updated the comments.</t>
  </si>
  <si>
    <t>Session not invalidated after logout — browser Back button restores authenticated session</t>
  </si>
  <si>
    <t>1. Navigate to opensource-demo.orangehrmlive.com
2. Enter Username: Admin and Password: admin123
3. Click the Login button
4. Verify you are on the Dashboard page
5. Click on the user avatar/name at the top right corner
6. Click Logout
7. Verify you are redirected to the Login page
8. Click the browser's Back button (or press Alt + Left Arrow)
9. Observe the page that loads</t>
  </si>
  <si>
    <t>User should remain on the Login page or be redirected back to it. The Dashboard should not be accessible without re-authentication.</t>
  </si>
  <si>
    <t>The Dashboard page loads successfully without requiring login credentials. The user's authenticated session is restored simply by navigating back — indicating the session was not invalidated server-side upon logout.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</si>
</sst>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b/>
      <sz val="10"/>
      <color rgb="FF000000"/>
      <name val="Arial"/>
    </font>
    <font>
      <sz val="10"/>
      <color rgb="FF000000"/>
      <name val="Arial"/>
    </font>
    <font>
      <b/>
      <sz val="16"/>
      <color rgb="FFFFFFFF"/>
      <name val="Arial"/>
    </font>
    <font>
      <b/>
      <sz val="11"/>
      <color rgb="FFFFFFFF"/>
      <name val="Arial"/>
    </font>
    <font>
      <sz val="11"/>
      <name val="Arial"/>
    </font>
    <font>
      <sz val="10"/>
      <name val="Arial"/>
    </font>
    <font>
      <b/>
      <sz val="11"/>
      <name val="Arial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rgb="FF000000"/>
      <name val="Arial"/>
      <family val="2"/>
    </font>
    <font>
      <sz val="8"/>
      <name val="Calibri"/>
      <family val="2"/>
      <scheme val="minor"/>
    </font>
    <font>
      <b/>
      <sz val="10"/>
      <color rgb="FF000000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5DA8"/>
      </patternFill>
    </fill>
    <fill>
      <patternFill patternType="solid">
        <fgColor rgb="FFE8F0FE"/>
      </patternFill>
    </fill>
    <fill>
      <patternFill patternType="solid">
        <fgColor rgb="FFF5F5F5"/>
      </patternFill>
    </fill>
    <fill>
      <patternFill patternType="solid">
        <fgColor rgb="FFFFF2CC"/>
      </patternFill>
    </fill>
    <fill>
      <patternFill patternType="solid">
        <fgColor rgb="FFFFFFFF"/>
      </patternFill>
    </fill>
    <fill>
      <patternFill patternType="solid">
        <fgColor rgb="FFE6F4EA"/>
      </patternFill>
    </fill>
    <fill>
      <patternFill patternType="solid">
        <fgColor rgb="FFFFF8E1"/>
      </patternFill>
    </fill>
    <fill>
      <patternFill patternType="solid">
        <fgColor rgb="FFFFE8D6"/>
      </patternFill>
    </fill>
    <fill>
      <patternFill patternType="solid">
        <fgColor rgb="FFDEEAF1"/>
      </patternFill>
    </fill>
    <fill>
      <patternFill patternType="solid">
        <fgColor rgb="FFE2EFDA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</fills>
  <borders count="4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</borders>
  <cellStyleXfs count="5">
    <xf numFmtId="0" fontId="0" fillId="0" borderId="0"/>
    <xf numFmtId="0" fontId="10" fillId="13" borderId="0" applyNumberFormat="0" applyBorder="0" applyAlignment="0" applyProtection="0"/>
    <xf numFmtId="0" fontId="11" fillId="14" borderId="0" applyNumberFormat="0" applyBorder="0" applyAlignment="0" applyProtection="0"/>
    <xf numFmtId="0" fontId="12" fillId="15" borderId="0" applyNumberFormat="0" applyBorder="0" applyAlignment="0" applyProtection="0"/>
    <xf numFmtId="0" fontId="9" fillId="16" borderId="0" applyNumberFormat="0" applyBorder="0" applyAlignment="0" applyProtection="0"/>
  </cellStyleXfs>
  <cellXfs count="43">
    <xf numFmtId="0" fontId="0" fillId="0" borderId="0" xfId="0"/>
    <xf numFmtId="0" fontId="5" fillId="3" borderId="1" xfId="0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left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7" fillId="1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8" fillId="0" borderId="0" xfId="0" applyFont="1"/>
    <xf numFmtId="0" fontId="1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left" vertical="center" wrapText="1"/>
    </xf>
    <xf numFmtId="0" fontId="3" fillId="6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left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left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left" vertical="center" wrapText="1"/>
    </xf>
    <xf numFmtId="0" fontId="3" fillId="10" borderId="1" xfId="0" applyFont="1" applyFill="1" applyBorder="1" applyAlignment="1">
      <alignment horizontal="center" vertical="center" wrapText="1"/>
    </xf>
    <xf numFmtId="0" fontId="0" fillId="0" borderId="0" xfId="0"/>
    <xf numFmtId="0" fontId="5" fillId="3" borderId="1" xfId="0" applyFont="1" applyFill="1" applyBorder="1" applyAlignment="1">
      <alignment horizontal="left" vertical="center"/>
    </xf>
    <xf numFmtId="0" fontId="0" fillId="0" borderId="2" xfId="0" applyBorder="1"/>
    <xf numFmtId="0" fontId="4" fillId="2" borderId="0" xfId="0" applyFont="1" applyFill="1" applyAlignment="1">
      <alignment horizontal="center" vertical="center"/>
    </xf>
    <xf numFmtId="0" fontId="6" fillId="11" borderId="1" xfId="0" applyFont="1" applyFill="1" applyBorder="1" applyAlignment="1">
      <alignment horizontal="left" vertical="center"/>
    </xf>
    <xf numFmtId="0" fontId="0" fillId="0" borderId="3" xfId="0" applyBorder="1"/>
    <xf numFmtId="0" fontId="12" fillId="15" borderId="0" xfId="3" applyAlignment="1">
      <alignment horizontal="center" vertical="center"/>
    </xf>
    <xf numFmtId="0" fontId="12" fillId="15" borderId="0" xfId="3"/>
    <xf numFmtId="0" fontId="9" fillId="16" borderId="0" xfId="4" applyAlignment="1">
      <alignment horizontal="center" vertical="center"/>
    </xf>
    <xf numFmtId="0" fontId="9" fillId="16" borderId="0" xfId="4"/>
    <xf numFmtId="0" fontId="13" fillId="5" borderId="1" xfId="0" applyFont="1" applyFill="1" applyBorder="1" applyAlignment="1">
      <alignment horizontal="left" vertical="center" wrapText="1"/>
    </xf>
    <xf numFmtId="0" fontId="10" fillId="13" borderId="1" xfId="1" applyBorder="1" applyAlignment="1">
      <alignment horizontal="center" vertical="center" wrapText="1"/>
    </xf>
    <xf numFmtId="0" fontId="13" fillId="6" borderId="1" xfId="0" applyFont="1" applyFill="1" applyBorder="1" applyAlignment="1">
      <alignment horizontal="left" vertical="center" wrapText="1"/>
    </xf>
    <xf numFmtId="0" fontId="13" fillId="7" borderId="1" xfId="0" applyFont="1" applyFill="1" applyBorder="1" applyAlignment="1">
      <alignment horizontal="left" vertical="center" wrapText="1"/>
    </xf>
    <xf numFmtId="0" fontId="11" fillId="14" borderId="1" xfId="2" applyBorder="1" applyAlignment="1">
      <alignment horizontal="center" vertical="center" wrapText="1"/>
    </xf>
    <xf numFmtId="0" fontId="15" fillId="4" borderId="1" xfId="0" applyFont="1" applyFill="1" applyBorder="1" applyAlignment="1">
      <alignment horizontal="center" vertical="center" wrapText="1"/>
    </xf>
    <xf numFmtId="0" fontId="15" fillId="5" borderId="1" xfId="0" applyFont="1" applyFill="1" applyBorder="1" applyAlignment="1">
      <alignment horizontal="left" vertical="center" wrapText="1"/>
    </xf>
    <xf numFmtId="0" fontId="13" fillId="5" borderId="1" xfId="0" applyFont="1" applyFill="1" applyBorder="1" applyAlignment="1">
      <alignment horizontal="center" vertical="center" wrapText="1"/>
    </xf>
    <xf numFmtId="0" fontId="13" fillId="7" borderId="1" xfId="0" applyFont="1" applyFill="1" applyBorder="1" applyAlignment="1">
      <alignment horizontal="center" vertical="center" wrapText="1"/>
    </xf>
    <xf numFmtId="0" fontId="15" fillId="7" borderId="1" xfId="0" applyFont="1" applyFill="1" applyBorder="1" applyAlignment="1">
      <alignment horizontal="left" vertical="center" wrapText="1"/>
    </xf>
  </cellXfs>
  <cellStyles count="5">
    <cellStyle name="20% - Accent6" xfId="4" builtinId="50"/>
    <cellStyle name="Accent6" xfId="3" builtinId="49"/>
    <cellStyle name="Bad" xfId="2" builtinId="27"/>
    <cellStyle name="Good" xfId="1" builtinId="26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8"/>
  <sheetViews>
    <sheetView tabSelected="1" topLeftCell="A10" workbookViewId="0">
      <selection activeCell="G15" sqref="G15"/>
    </sheetView>
  </sheetViews>
  <sheetFormatPr defaultRowHeight="14.5" x14ac:dyDescent="0.35"/>
  <cols>
    <col min="1" max="1" width="24" customWidth="1"/>
    <col min="2" max="2" width="12" customWidth="1"/>
    <col min="3" max="8" width="13" customWidth="1"/>
  </cols>
  <sheetData>
    <row r="1" spans="1:8" ht="40" customHeight="1" x14ac:dyDescent="0.35">
      <c r="A1" s="26" t="s">
        <v>27</v>
      </c>
      <c r="B1" s="23"/>
      <c r="C1" s="23"/>
      <c r="D1" s="23"/>
      <c r="E1" s="23"/>
      <c r="F1" s="23"/>
      <c r="G1" s="23"/>
      <c r="H1" s="23"/>
    </row>
    <row r="2" spans="1:8" ht="10" customHeight="1" x14ac:dyDescent="0.35">
      <c r="A2" s="23"/>
      <c r="B2" s="23"/>
      <c r="C2" s="23"/>
      <c r="D2" s="23"/>
      <c r="E2" s="23"/>
      <c r="F2" s="23"/>
      <c r="G2" s="23"/>
      <c r="H2" s="23"/>
    </row>
    <row r="3" spans="1:8" ht="22" customHeight="1" x14ac:dyDescent="0.35">
      <c r="A3" s="24" t="s">
        <v>28</v>
      </c>
      <c r="B3" s="25"/>
      <c r="C3" s="27" t="s">
        <v>19</v>
      </c>
      <c r="D3" s="28"/>
      <c r="E3" s="28"/>
      <c r="F3" s="28"/>
      <c r="G3" s="28"/>
      <c r="H3" s="25"/>
    </row>
    <row r="4" spans="1:8" ht="22" customHeight="1" x14ac:dyDescent="0.35">
      <c r="A4" s="24" t="s">
        <v>29</v>
      </c>
      <c r="B4" s="25"/>
      <c r="C4" s="27" t="s">
        <v>30</v>
      </c>
      <c r="D4" s="28"/>
      <c r="E4" s="28"/>
      <c r="F4" s="28"/>
      <c r="G4" s="28"/>
      <c r="H4" s="25"/>
    </row>
    <row r="5" spans="1:8" ht="22" customHeight="1" x14ac:dyDescent="0.35">
      <c r="A5" s="24" t="s">
        <v>31</v>
      </c>
      <c r="B5" s="25"/>
      <c r="C5" s="27" t="s">
        <v>32</v>
      </c>
      <c r="D5" s="28"/>
      <c r="E5" s="28"/>
      <c r="F5" s="28"/>
      <c r="G5" s="28"/>
      <c r="H5" s="25"/>
    </row>
    <row r="6" spans="1:8" ht="22" customHeight="1" x14ac:dyDescent="0.35">
      <c r="A6" s="24" t="s">
        <v>33</v>
      </c>
      <c r="B6" s="25"/>
      <c r="C6" s="27" t="s">
        <v>34</v>
      </c>
      <c r="D6" s="28"/>
      <c r="E6" s="28"/>
      <c r="F6" s="28"/>
      <c r="G6" s="28"/>
      <c r="H6" s="25"/>
    </row>
    <row r="7" spans="1:8" ht="22" customHeight="1" x14ac:dyDescent="0.35">
      <c r="A7" s="24" t="s">
        <v>35</v>
      </c>
      <c r="B7" s="25"/>
      <c r="C7" s="27"/>
      <c r="D7" s="28"/>
      <c r="E7" s="28"/>
      <c r="F7" s="28"/>
      <c r="G7" s="28"/>
      <c r="H7" s="25"/>
    </row>
    <row r="8" spans="1:8" ht="22" customHeight="1" x14ac:dyDescent="0.35">
      <c r="A8" s="24" t="s">
        <v>36</v>
      </c>
      <c r="B8" s="25"/>
      <c r="C8" s="27"/>
      <c r="D8" s="28"/>
      <c r="E8" s="28"/>
      <c r="F8" s="28"/>
      <c r="G8" s="28"/>
      <c r="H8" s="25"/>
    </row>
    <row r="9" spans="1:8" ht="22" customHeight="1" x14ac:dyDescent="0.35">
      <c r="A9" s="24" t="s">
        <v>37</v>
      </c>
      <c r="B9" s="25"/>
      <c r="C9" s="27" t="s">
        <v>38</v>
      </c>
      <c r="D9" s="28"/>
      <c r="E9" s="28"/>
      <c r="F9" s="28"/>
      <c r="G9" s="28"/>
      <c r="H9" s="25"/>
    </row>
    <row r="10" spans="1:8" ht="20" customHeight="1" x14ac:dyDescent="0.35"/>
    <row r="11" spans="1:8" ht="26" customHeight="1" x14ac:dyDescent="0.35">
      <c r="A11" s="1" t="s">
        <v>4</v>
      </c>
      <c r="B11" s="1" t="s">
        <v>39</v>
      </c>
      <c r="C11" s="1" t="s">
        <v>40</v>
      </c>
      <c r="D11" s="1" t="s">
        <v>41</v>
      </c>
      <c r="E11" s="1" t="s">
        <v>42</v>
      </c>
      <c r="F11" s="1" t="s">
        <v>43</v>
      </c>
      <c r="G11" s="1" t="s">
        <v>44</v>
      </c>
    </row>
    <row r="12" spans="1:8" ht="22" customHeight="1" x14ac:dyDescent="0.35">
      <c r="A12" s="2" t="s">
        <v>16</v>
      </c>
      <c r="B12" s="3">
        <v>17</v>
      </c>
      <c r="C12" s="4">
        <v>16</v>
      </c>
      <c r="D12" s="4">
        <v>1</v>
      </c>
      <c r="E12" s="4">
        <v>0</v>
      </c>
      <c r="F12" s="4">
        <v>0</v>
      </c>
      <c r="G12" s="5" t="str">
        <f>IF(C12+D12=0,"0%",TEXT(C12/(C12+D12),"0%"))</f>
        <v>94%</v>
      </c>
    </row>
    <row r="13" spans="1:8" ht="22" customHeight="1" x14ac:dyDescent="0.35">
      <c r="A13" s="2" t="s">
        <v>22</v>
      </c>
      <c r="B13" s="3">
        <v>15</v>
      </c>
      <c r="C13" s="4">
        <v>15</v>
      </c>
      <c r="D13" s="4">
        <v>0</v>
      </c>
      <c r="E13" s="4">
        <v>0</v>
      </c>
      <c r="F13" s="4">
        <v>0</v>
      </c>
      <c r="G13" s="5" t="str">
        <f>IF(C13+D13=0,"0%",TEXT(C13/(C13+D13),"0%"))</f>
        <v>100%</v>
      </c>
    </row>
    <row r="14" spans="1:8" ht="22" customHeight="1" x14ac:dyDescent="0.35">
      <c r="A14" s="2" t="s">
        <v>25</v>
      </c>
      <c r="B14" s="3">
        <v>14</v>
      </c>
      <c r="C14" s="4">
        <v>14</v>
      </c>
      <c r="D14" s="4">
        <v>0</v>
      </c>
      <c r="E14" s="4">
        <v>0</v>
      </c>
      <c r="F14" s="4">
        <v>0</v>
      </c>
      <c r="G14" s="5" t="str">
        <f>IF(C14+D14=0,"0%",TEXT(C14/(C14+D14),"0%"))</f>
        <v>100%</v>
      </c>
    </row>
    <row r="15" spans="1:8" ht="26" customHeight="1" x14ac:dyDescent="0.35">
      <c r="A15" s="6" t="s">
        <v>45</v>
      </c>
      <c r="B15" s="6">
        <f>SUM(B12:B14)</f>
        <v>46</v>
      </c>
      <c r="C15" s="7">
        <f>SUM(C12:C14)</f>
        <v>45</v>
      </c>
      <c r="D15" s="7">
        <f>SUM(D12:D14)</f>
        <v>1</v>
      </c>
      <c r="E15" s="7">
        <f>SUM(E12:E14)</f>
        <v>0</v>
      </c>
      <c r="F15" s="7">
        <f>SUM(F12:F14)</f>
        <v>0</v>
      </c>
      <c r="G15" s="7">
        <f>SUM(G12:G14)</f>
        <v>0</v>
      </c>
    </row>
    <row r="17" spans="1:1" ht="20" customHeight="1" x14ac:dyDescent="0.35">
      <c r="A17" s="8"/>
    </row>
    <row r="18" spans="1:1" ht="22" customHeight="1" x14ac:dyDescent="0.35"/>
  </sheetData>
  <mergeCells count="16">
    <mergeCell ref="C9:H9"/>
    <mergeCell ref="A5:B5"/>
    <mergeCell ref="C8:H8"/>
    <mergeCell ref="C4:H4"/>
    <mergeCell ref="C3:H3"/>
    <mergeCell ref="A9:B9"/>
    <mergeCell ref="A8:B8"/>
    <mergeCell ref="A3:B3"/>
    <mergeCell ref="A6:B6"/>
    <mergeCell ref="A4:B4"/>
    <mergeCell ref="A1:H1"/>
    <mergeCell ref="C6:H6"/>
    <mergeCell ref="A7:B7"/>
    <mergeCell ref="C7:H7"/>
    <mergeCell ref="C5:H5"/>
    <mergeCell ref="A2:H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49"/>
  <sheetViews>
    <sheetView zoomScale="50" zoomScaleNormal="50" workbookViewId="0">
      <pane ySplit="3" topLeftCell="A19" activePane="bottomLeft" state="frozen"/>
      <selection pane="bottomLeft" activeCell="I20" sqref="I20"/>
    </sheetView>
  </sheetViews>
  <sheetFormatPr defaultRowHeight="14.5" x14ac:dyDescent="0.35"/>
  <cols>
    <col min="1" max="1" width="12.36328125" customWidth="1"/>
    <col min="2" max="2" width="16" customWidth="1"/>
    <col min="3" max="3" width="18" customWidth="1"/>
    <col min="4" max="4" width="32" customWidth="1"/>
    <col min="5" max="5" width="28" customWidth="1"/>
    <col min="6" max="6" width="45" customWidth="1"/>
    <col min="7" max="7" width="28" customWidth="1"/>
    <col min="8" max="8" width="42.36328125" customWidth="1"/>
    <col min="9" max="9" width="38" customWidth="1"/>
    <col min="10" max="11" width="12" customWidth="1"/>
  </cols>
  <sheetData>
    <row r="1" spans="1:11" ht="32" customHeight="1" x14ac:dyDescent="0.35">
      <c r="A1" s="29" t="s">
        <v>46</v>
      </c>
      <c r="B1" s="30"/>
      <c r="C1" s="30"/>
      <c r="D1" s="30"/>
      <c r="E1" s="30"/>
      <c r="F1" s="30"/>
      <c r="G1" s="30"/>
      <c r="H1" s="30"/>
      <c r="I1" s="30"/>
      <c r="J1" s="30"/>
      <c r="K1" s="30"/>
    </row>
    <row r="2" spans="1:11" ht="20" customHeight="1" x14ac:dyDescent="0.35">
      <c r="A2" s="31" t="s">
        <v>47</v>
      </c>
      <c r="B2" s="32"/>
      <c r="C2" s="32"/>
      <c r="D2" s="32"/>
      <c r="E2" s="32"/>
      <c r="F2" s="32"/>
      <c r="G2" s="32"/>
      <c r="H2" s="32"/>
      <c r="I2" s="32"/>
      <c r="J2" s="32"/>
      <c r="K2" s="32"/>
    </row>
    <row r="3" spans="1:11" ht="28" customHeight="1" x14ac:dyDescent="0.35">
      <c r="A3" s="9" t="s">
        <v>48</v>
      </c>
      <c r="B3" s="9" t="s">
        <v>4</v>
      </c>
      <c r="C3" s="9" t="s">
        <v>49</v>
      </c>
      <c r="D3" s="9" t="s">
        <v>50</v>
      </c>
      <c r="E3" s="9" t="s">
        <v>51</v>
      </c>
      <c r="F3" s="9" t="s">
        <v>52</v>
      </c>
      <c r="G3" s="9" t="s">
        <v>53</v>
      </c>
      <c r="H3" s="9" t="s">
        <v>8</v>
      </c>
      <c r="I3" s="9" t="s">
        <v>9</v>
      </c>
      <c r="J3" s="9" t="s">
        <v>12</v>
      </c>
      <c r="K3" s="9" t="s">
        <v>10</v>
      </c>
    </row>
    <row r="4" spans="1:11" ht="80" customHeight="1" x14ac:dyDescent="0.35">
      <c r="A4" s="10" t="s">
        <v>54</v>
      </c>
      <c r="B4" s="11" t="s">
        <v>16</v>
      </c>
      <c r="C4" s="12" t="s">
        <v>55</v>
      </c>
      <c r="D4" s="13" t="s">
        <v>56</v>
      </c>
      <c r="E4" s="12" t="s">
        <v>57</v>
      </c>
      <c r="F4" s="12" t="s">
        <v>58</v>
      </c>
      <c r="G4" s="12" t="s">
        <v>59</v>
      </c>
      <c r="H4" s="12" t="s">
        <v>60</v>
      </c>
      <c r="I4" s="12" t="s">
        <v>60</v>
      </c>
      <c r="J4" s="34" t="s">
        <v>244</v>
      </c>
      <c r="K4" s="15" t="s">
        <v>17</v>
      </c>
    </row>
    <row r="5" spans="1:11" ht="80" customHeight="1" x14ac:dyDescent="0.35">
      <c r="A5" s="10" t="s">
        <v>15</v>
      </c>
      <c r="B5" s="11" t="s">
        <v>16</v>
      </c>
      <c r="C5" s="16" t="s">
        <v>61</v>
      </c>
      <c r="D5" s="17" t="s">
        <v>62</v>
      </c>
      <c r="E5" s="16" t="s">
        <v>57</v>
      </c>
      <c r="F5" s="16" t="s">
        <v>63</v>
      </c>
      <c r="G5" s="16" t="s">
        <v>64</v>
      </c>
      <c r="H5" s="16" t="s">
        <v>65</v>
      </c>
      <c r="I5" s="16" t="s">
        <v>65</v>
      </c>
      <c r="J5" s="34" t="s">
        <v>244</v>
      </c>
      <c r="K5" s="3" t="s">
        <v>17</v>
      </c>
    </row>
    <row r="6" spans="1:11" ht="80" customHeight="1" x14ac:dyDescent="0.35">
      <c r="A6" s="10" t="s">
        <v>66</v>
      </c>
      <c r="B6" s="11" t="s">
        <v>16</v>
      </c>
      <c r="C6" s="12" t="s">
        <v>67</v>
      </c>
      <c r="D6" s="13" t="s">
        <v>68</v>
      </c>
      <c r="E6" s="12" t="s">
        <v>57</v>
      </c>
      <c r="F6" s="12" t="s">
        <v>69</v>
      </c>
      <c r="G6" s="12" t="s">
        <v>70</v>
      </c>
      <c r="H6" s="12" t="s">
        <v>65</v>
      </c>
      <c r="I6" s="12" t="s">
        <v>65</v>
      </c>
      <c r="J6" s="34" t="s">
        <v>244</v>
      </c>
      <c r="K6" s="15" t="s">
        <v>17</v>
      </c>
    </row>
    <row r="7" spans="1:11" ht="80" customHeight="1" x14ac:dyDescent="0.35">
      <c r="A7" s="10" t="s">
        <v>71</v>
      </c>
      <c r="B7" s="11" t="s">
        <v>16</v>
      </c>
      <c r="C7" s="16" t="s">
        <v>72</v>
      </c>
      <c r="D7" s="17" t="s">
        <v>73</v>
      </c>
      <c r="E7" s="16" t="s">
        <v>57</v>
      </c>
      <c r="F7" s="16" t="s">
        <v>74</v>
      </c>
      <c r="G7" s="16" t="s">
        <v>75</v>
      </c>
      <c r="H7" s="16" t="s">
        <v>76</v>
      </c>
      <c r="I7" s="16" t="s">
        <v>76</v>
      </c>
      <c r="J7" s="34" t="s">
        <v>244</v>
      </c>
      <c r="K7" s="3" t="s">
        <v>23</v>
      </c>
    </row>
    <row r="8" spans="1:11" ht="80" customHeight="1" x14ac:dyDescent="0.35">
      <c r="A8" s="10" t="s">
        <v>77</v>
      </c>
      <c r="B8" s="11" t="s">
        <v>16</v>
      </c>
      <c r="C8" s="12" t="s">
        <v>78</v>
      </c>
      <c r="D8" s="13" t="s">
        <v>79</v>
      </c>
      <c r="E8" s="12" t="s">
        <v>57</v>
      </c>
      <c r="F8" s="12" t="s">
        <v>80</v>
      </c>
      <c r="G8" s="12" t="s">
        <v>81</v>
      </c>
      <c r="H8" s="12" t="s">
        <v>82</v>
      </c>
      <c r="I8" s="12" t="s">
        <v>82</v>
      </c>
      <c r="J8" s="34" t="s">
        <v>244</v>
      </c>
      <c r="K8" s="15" t="s">
        <v>23</v>
      </c>
    </row>
    <row r="9" spans="1:11" ht="80" customHeight="1" x14ac:dyDescent="0.35">
      <c r="A9" s="10" t="s">
        <v>83</v>
      </c>
      <c r="B9" s="11" t="s">
        <v>16</v>
      </c>
      <c r="C9" s="16" t="s">
        <v>84</v>
      </c>
      <c r="D9" s="17" t="s">
        <v>85</v>
      </c>
      <c r="E9" s="16" t="s">
        <v>57</v>
      </c>
      <c r="F9" s="16" t="s">
        <v>86</v>
      </c>
      <c r="G9" s="16" t="s">
        <v>87</v>
      </c>
      <c r="H9" s="16" t="s">
        <v>88</v>
      </c>
      <c r="I9" s="16" t="s">
        <v>88</v>
      </c>
      <c r="J9" s="34" t="s">
        <v>244</v>
      </c>
      <c r="K9" s="3" t="s">
        <v>23</v>
      </c>
    </row>
    <row r="10" spans="1:11" ht="80" customHeight="1" x14ac:dyDescent="0.35">
      <c r="A10" s="10" t="s">
        <v>89</v>
      </c>
      <c r="B10" s="11" t="s">
        <v>16</v>
      </c>
      <c r="C10" s="12" t="s">
        <v>90</v>
      </c>
      <c r="D10" s="13" t="s">
        <v>91</v>
      </c>
      <c r="E10" s="12" t="s">
        <v>57</v>
      </c>
      <c r="F10" s="12" t="s">
        <v>92</v>
      </c>
      <c r="G10" s="12" t="s">
        <v>93</v>
      </c>
      <c r="H10" s="12" t="s">
        <v>94</v>
      </c>
      <c r="I10" s="35" t="s">
        <v>245</v>
      </c>
      <c r="J10" s="34" t="s">
        <v>244</v>
      </c>
      <c r="K10" s="15" t="s">
        <v>95</v>
      </c>
    </row>
    <row r="11" spans="1:11" ht="80" customHeight="1" x14ac:dyDescent="0.35">
      <c r="A11" s="10" t="s">
        <v>96</v>
      </c>
      <c r="B11" s="11" t="s">
        <v>16</v>
      </c>
      <c r="C11" s="16" t="s">
        <v>97</v>
      </c>
      <c r="D11" s="17" t="s">
        <v>98</v>
      </c>
      <c r="E11" s="16" t="s">
        <v>57</v>
      </c>
      <c r="F11" s="16" t="s">
        <v>99</v>
      </c>
      <c r="G11" s="16" t="s">
        <v>100</v>
      </c>
      <c r="H11" s="16" t="s">
        <v>101</v>
      </c>
      <c r="I11" s="16" t="s">
        <v>101</v>
      </c>
      <c r="J11" s="34" t="s">
        <v>244</v>
      </c>
      <c r="K11" s="3" t="s">
        <v>23</v>
      </c>
    </row>
    <row r="12" spans="1:11" ht="80" customHeight="1" x14ac:dyDescent="0.35">
      <c r="A12" s="10" t="s">
        <v>102</v>
      </c>
      <c r="B12" s="11" t="s">
        <v>16</v>
      </c>
      <c r="C12" s="12" t="s">
        <v>103</v>
      </c>
      <c r="D12" s="13" t="s">
        <v>104</v>
      </c>
      <c r="E12" s="12" t="s">
        <v>57</v>
      </c>
      <c r="F12" s="12" t="s">
        <v>105</v>
      </c>
      <c r="G12" s="12" t="s">
        <v>106</v>
      </c>
      <c r="H12" s="12" t="s">
        <v>107</v>
      </c>
      <c r="I12" s="12" t="s">
        <v>107</v>
      </c>
      <c r="J12" s="34" t="s">
        <v>244</v>
      </c>
      <c r="K12" s="15" t="s">
        <v>95</v>
      </c>
    </row>
    <row r="13" spans="1:11" ht="80" customHeight="1" x14ac:dyDescent="0.35">
      <c r="A13" s="10" t="s">
        <v>20</v>
      </c>
      <c r="B13" s="11" t="s">
        <v>16</v>
      </c>
      <c r="C13" s="16" t="s">
        <v>108</v>
      </c>
      <c r="D13" s="17" t="s">
        <v>109</v>
      </c>
      <c r="E13" s="16" t="s">
        <v>57</v>
      </c>
      <c r="F13" s="16" t="s">
        <v>110</v>
      </c>
      <c r="G13" s="16" t="s">
        <v>111</v>
      </c>
      <c r="H13" s="16" t="s">
        <v>112</v>
      </c>
      <c r="I13" s="36" t="s">
        <v>246</v>
      </c>
      <c r="J13" s="34" t="s">
        <v>244</v>
      </c>
      <c r="K13" s="3" t="s">
        <v>17</v>
      </c>
    </row>
    <row r="14" spans="1:11" ht="80" customHeight="1" x14ac:dyDescent="0.35">
      <c r="A14" s="10" t="s">
        <v>113</v>
      </c>
      <c r="B14" s="11" t="s">
        <v>16</v>
      </c>
      <c r="C14" s="12" t="s">
        <v>114</v>
      </c>
      <c r="D14" s="13" t="s">
        <v>115</v>
      </c>
      <c r="E14" s="12" t="s">
        <v>116</v>
      </c>
      <c r="F14" s="12" t="s">
        <v>117</v>
      </c>
      <c r="G14" s="12" t="s">
        <v>106</v>
      </c>
      <c r="H14" s="12" t="s">
        <v>118</v>
      </c>
      <c r="I14" s="12" t="s">
        <v>118</v>
      </c>
      <c r="J14" s="34" t="s">
        <v>244</v>
      </c>
      <c r="K14" s="15" t="s">
        <v>17</v>
      </c>
    </row>
    <row r="15" spans="1:11" ht="80" customHeight="1" x14ac:dyDescent="0.35">
      <c r="A15" s="10" t="s">
        <v>119</v>
      </c>
      <c r="B15" s="11" t="s">
        <v>16</v>
      </c>
      <c r="C15" s="33" t="s">
        <v>254</v>
      </c>
      <c r="D15" s="13" t="s">
        <v>255</v>
      </c>
      <c r="E15" s="12" t="s">
        <v>57</v>
      </c>
      <c r="F15" s="33" t="s">
        <v>256</v>
      </c>
      <c r="G15" s="12" t="s">
        <v>257</v>
      </c>
      <c r="H15" s="12" t="s">
        <v>258</v>
      </c>
      <c r="I15" s="33" t="s">
        <v>276</v>
      </c>
      <c r="J15" s="34" t="s">
        <v>244</v>
      </c>
      <c r="K15" s="40" t="s">
        <v>23</v>
      </c>
    </row>
    <row r="16" spans="1:11" ht="80" customHeight="1" x14ac:dyDescent="0.35">
      <c r="A16" s="10" t="s">
        <v>249</v>
      </c>
      <c r="B16" s="11" t="s">
        <v>16</v>
      </c>
      <c r="C16" s="33" t="s">
        <v>254</v>
      </c>
      <c r="D16" s="39" t="s">
        <v>259</v>
      </c>
      <c r="E16" s="12" t="s">
        <v>57</v>
      </c>
      <c r="F16" s="33" t="s">
        <v>260</v>
      </c>
      <c r="G16" s="33" t="s">
        <v>261</v>
      </c>
      <c r="H16" s="12" t="s">
        <v>258</v>
      </c>
      <c r="I16" s="33" t="s">
        <v>276</v>
      </c>
      <c r="J16" s="34" t="s">
        <v>244</v>
      </c>
      <c r="K16" s="40" t="s">
        <v>23</v>
      </c>
    </row>
    <row r="17" spans="1:11" ht="80" customHeight="1" x14ac:dyDescent="0.35">
      <c r="A17" s="10" t="s">
        <v>250</v>
      </c>
      <c r="B17" s="11" t="s">
        <v>16</v>
      </c>
      <c r="C17" s="12" t="s">
        <v>262</v>
      </c>
      <c r="D17" s="13" t="s">
        <v>263</v>
      </c>
      <c r="E17" s="12" t="s">
        <v>57</v>
      </c>
      <c r="F17" s="33" t="s">
        <v>264</v>
      </c>
      <c r="G17" s="12" t="s">
        <v>265</v>
      </c>
      <c r="H17" s="12" t="s">
        <v>266</v>
      </c>
      <c r="I17" s="33" t="s">
        <v>277</v>
      </c>
      <c r="J17" s="34" t="s">
        <v>244</v>
      </c>
      <c r="K17" s="40" t="s">
        <v>95</v>
      </c>
    </row>
    <row r="18" spans="1:11" ht="80" customHeight="1" x14ac:dyDescent="0.35">
      <c r="A18" s="10" t="s">
        <v>251</v>
      </c>
      <c r="B18" s="11" t="s">
        <v>16</v>
      </c>
      <c r="C18" s="12" t="s">
        <v>267</v>
      </c>
      <c r="D18" s="13" t="s">
        <v>268</v>
      </c>
      <c r="E18" s="12" t="s">
        <v>57</v>
      </c>
      <c r="F18" s="33" t="s">
        <v>269</v>
      </c>
      <c r="G18" s="12" t="s">
        <v>270</v>
      </c>
      <c r="H18" s="12" t="s">
        <v>271</v>
      </c>
      <c r="I18" s="12" t="s">
        <v>271</v>
      </c>
      <c r="J18" s="34" t="s">
        <v>244</v>
      </c>
      <c r="K18" s="40" t="s">
        <v>95</v>
      </c>
    </row>
    <row r="19" spans="1:11" ht="80" customHeight="1" x14ac:dyDescent="0.35">
      <c r="A19" s="10" t="s">
        <v>252</v>
      </c>
      <c r="B19" s="11" t="s">
        <v>16</v>
      </c>
      <c r="C19" s="12" t="s">
        <v>272</v>
      </c>
      <c r="D19" s="13" t="s">
        <v>273</v>
      </c>
      <c r="E19" s="12" t="s">
        <v>57</v>
      </c>
      <c r="F19" s="33" t="s">
        <v>274</v>
      </c>
      <c r="G19" s="12" t="s">
        <v>106</v>
      </c>
      <c r="H19" s="12" t="s">
        <v>275</v>
      </c>
      <c r="I19" s="33" t="s">
        <v>278</v>
      </c>
      <c r="J19" s="34" t="s">
        <v>244</v>
      </c>
      <c r="K19" s="40" t="s">
        <v>95</v>
      </c>
    </row>
    <row r="20" spans="1:11" ht="80" customHeight="1" x14ac:dyDescent="0.35">
      <c r="A20" s="38" t="s">
        <v>253</v>
      </c>
      <c r="B20" s="11" t="s">
        <v>16</v>
      </c>
      <c r="C20" s="16" t="s">
        <v>120</v>
      </c>
      <c r="D20" s="42" t="s">
        <v>121</v>
      </c>
      <c r="E20" s="16" t="s">
        <v>122</v>
      </c>
      <c r="F20" s="16" t="s">
        <v>123</v>
      </c>
      <c r="G20" s="16" t="s">
        <v>106</v>
      </c>
      <c r="H20" s="16" t="s">
        <v>124</v>
      </c>
      <c r="I20" s="33" t="s">
        <v>247</v>
      </c>
      <c r="J20" s="37" t="s">
        <v>248</v>
      </c>
      <c r="K20" s="3" t="s">
        <v>23</v>
      </c>
    </row>
    <row r="21" spans="1:11" ht="80" customHeight="1" x14ac:dyDescent="0.35">
      <c r="A21" s="18" t="s">
        <v>125</v>
      </c>
      <c r="B21" s="19" t="s">
        <v>22</v>
      </c>
      <c r="C21" s="12" t="s">
        <v>126</v>
      </c>
      <c r="D21" s="13" t="s">
        <v>127</v>
      </c>
      <c r="E21" s="12" t="s">
        <v>128</v>
      </c>
      <c r="F21" s="12" t="s">
        <v>129</v>
      </c>
      <c r="G21" s="12" t="s">
        <v>130</v>
      </c>
      <c r="H21" s="12" t="s">
        <v>131</v>
      </c>
      <c r="I21" s="12" t="s">
        <v>131</v>
      </c>
      <c r="J21" s="34" t="s">
        <v>244</v>
      </c>
      <c r="K21" s="15" t="s">
        <v>17</v>
      </c>
    </row>
    <row r="22" spans="1:11" ht="80" customHeight="1" x14ac:dyDescent="0.35">
      <c r="A22" s="18" t="s">
        <v>21</v>
      </c>
      <c r="B22" s="19" t="s">
        <v>22</v>
      </c>
      <c r="C22" s="16" t="s">
        <v>126</v>
      </c>
      <c r="D22" s="17" t="s">
        <v>132</v>
      </c>
      <c r="E22" s="16" t="s">
        <v>133</v>
      </c>
      <c r="F22" s="16" t="s">
        <v>134</v>
      </c>
      <c r="G22" s="16" t="s">
        <v>135</v>
      </c>
      <c r="H22" s="16" t="s">
        <v>136</v>
      </c>
      <c r="I22" s="16" t="s">
        <v>136</v>
      </c>
      <c r="J22" s="34" t="s">
        <v>244</v>
      </c>
      <c r="K22" s="3" t="s">
        <v>17</v>
      </c>
    </row>
    <row r="23" spans="1:11" ht="80" customHeight="1" x14ac:dyDescent="0.35">
      <c r="A23" s="18" t="s">
        <v>137</v>
      </c>
      <c r="B23" s="19" t="s">
        <v>22</v>
      </c>
      <c r="C23" s="12" t="s">
        <v>126</v>
      </c>
      <c r="D23" s="13" t="s">
        <v>138</v>
      </c>
      <c r="E23" s="12" t="s">
        <v>133</v>
      </c>
      <c r="F23" s="12" t="s">
        <v>139</v>
      </c>
      <c r="G23" s="12" t="s">
        <v>140</v>
      </c>
      <c r="H23" s="12" t="s">
        <v>141</v>
      </c>
      <c r="I23" s="12" t="s">
        <v>141</v>
      </c>
      <c r="J23" s="34" t="s">
        <v>244</v>
      </c>
      <c r="K23" s="15" t="s">
        <v>17</v>
      </c>
    </row>
    <row r="24" spans="1:11" ht="80" customHeight="1" x14ac:dyDescent="0.35">
      <c r="A24" s="18" t="s">
        <v>142</v>
      </c>
      <c r="B24" s="19" t="s">
        <v>22</v>
      </c>
      <c r="C24" s="16" t="s">
        <v>126</v>
      </c>
      <c r="D24" s="17" t="s">
        <v>143</v>
      </c>
      <c r="E24" s="16" t="s">
        <v>133</v>
      </c>
      <c r="F24" s="16" t="s">
        <v>144</v>
      </c>
      <c r="G24" s="16" t="s">
        <v>145</v>
      </c>
      <c r="H24" s="16" t="s">
        <v>146</v>
      </c>
      <c r="I24" s="16" t="s">
        <v>146</v>
      </c>
      <c r="J24" s="34" t="s">
        <v>244</v>
      </c>
      <c r="K24" s="41" t="s">
        <v>17</v>
      </c>
    </row>
    <row r="25" spans="1:11" ht="80" customHeight="1" x14ac:dyDescent="0.35">
      <c r="A25" s="18" t="s">
        <v>147</v>
      </c>
      <c r="B25" s="19" t="s">
        <v>22</v>
      </c>
      <c r="C25" s="12" t="s">
        <v>148</v>
      </c>
      <c r="D25" s="13" t="s">
        <v>149</v>
      </c>
      <c r="E25" s="12" t="s">
        <v>150</v>
      </c>
      <c r="F25" s="12" t="s">
        <v>151</v>
      </c>
      <c r="G25" s="12" t="s">
        <v>152</v>
      </c>
      <c r="H25" s="12" t="s">
        <v>153</v>
      </c>
      <c r="I25" s="12" t="s">
        <v>153</v>
      </c>
      <c r="J25" s="34" t="s">
        <v>244</v>
      </c>
      <c r="K25" s="15" t="s">
        <v>17</v>
      </c>
    </row>
    <row r="26" spans="1:11" ht="80" customHeight="1" x14ac:dyDescent="0.35">
      <c r="A26" s="18" t="s">
        <v>154</v>
      </c>
      <c r="B26" s="19" t="s">
        <v>22</v>
      </c>
      <c r="C26" s="16" t="s">
        <v>148</v>
      </c>
      <c r="D26" s="17" t="s">
        <v>155</v>
      </c>
      <c r="E26" s="16" t="s">
        <v>156</v>
      </c>
      <c r="F26" s="16" t="s">
        <v>157</v>
      </c>
      <c r="G26" s="16" t="s">
        <v>158</v>
      </c>
      <c r="H26" s="16" t="s">
        <v>159</v>
      </c>
      <c r="I26" s="16" t="s">
        <v>159</v>
      </c>
      <c r="J26" s="34" t="s">
        <v>244</v>
      </c>
      <c r="K26" s="3" t="s">
        <v>23</v>
      </c>
    </row>
    <row r="27" spans="1:11" ht="80" customHeight="1" x14ac:dyDescent="0.35">
      <c r="A27" s="18" t="s">
        <v>160</v>
      </c>
      <c r="B27" s="19" t="s">
        <v>22</v>
      </c>
      <c r="C27" s="12" t="s">
        <v>148</v>
      </c>
      <c r="D27" s="13" t="s">
        <v>161</v>
      </c>
      <c r="E27" s="12" t="s">
        <v>156</v>
      </c>
      <c r="F27" s="12" t="s">
        <v>162</v>
      </c>
      <c r="G27" s="12" t="s">
        <v>163</v>
      </c>
      <c r="H27" s="12" t="s">
        <v>164</v>
      </c>
      <c r="I27" s="12" t="s">
        <v>164</v>
      </c>
      <c r="J27" s="34" t="s">
        <v>244</v>
      </c>
      <c r="K27" s="15" t="s">
        <v>95</v>
      </c>
    </row>
    <row r="28" spans="1:11" ht="80" customHeight="1" x14ac:dyDescent="0.35">
      <c r="A28" s="18" t="s">
        <v>165</v>
      </c>
      <c r="B28" s="19" t="s">
        <v>22</v>
      </c>
      <c r="C28" s="16" t="s">
        <v>166</v>
      </c>
      <c r="D28" s="17" t="s">
        <v>167</v>
      </c>
      <c r="E28" s="16" t="s">
        <v>168</v>
      </c>
      <c r="F28" s="16" t="s">
        <v>169</v>
      </c>
      <c r="G28" s="16" t="s">
        <v>170</v>
      </c>
      <c r="H28" s="16" t="s">
        <v>171</v>
      </c>
      <c r="I28" s="16" t="s">
        <v>171</v>
      </c>
      <c r="J28" s="34" t="s">
        <v>244</v>
      </c>
      <c r="K28" s="3" t="s">
        <v>17</v>
      </c>
    </row>
    <row r="29" spans="1:11" ht="80" customHeight="1" x14ac:dyDescent="0.35">
      <c r="A29" s="18" t="s">
        <v>172</v>
      </c>
      <c r="B29" s="19" t="s">
        <v>22</v>
      </c>
      <c r="C29" s="12" t="s">
        <v>173</v>
      </c>
      <c r="D29" s="13" t="s">
        <v>174</v>
      </c>
      <c r="E29" s="12" t="s">
        <v>168</v>
      </c>
      <c r="F29" s="12" t="s">
        <v>175</v>
      </c>
      <c r="G29" s="12" t="s">
        <v>106</v>
      </c>
      <c r="H29" s="12" t="s">
        <v>176</v>
      </c>
      <c r="I29" s="12" t="s">
        <v>176</v>
      </c>
      <c r="J29" s="34" t="s">
        <v>244</v>
      </c>
      <c r="K29" s="15" t="s">
        <v>17</v>
      </c>
    </row>
    <row r="30" spans="1:11" ht="80" customHeight="1" x14ac:dyDescent="0.35">
      <c r="A30" s="18" t="s">
        <v>177</v>
      </c>
      <c r="B30" s="19" t="s">
        <v>22</v>
      </c>
      <c r="C30" s="16" t="s">
        <v>178</v>
      </c>
      <c r="D30" s="17" t="s">
        <v>179</v>
      </c>
      <c r="E30" s="16" t="s">
        <v>180</v>
      </c>
      <c r="F30" s="16" t="s">
        <v>181</v>
      </c>
      <c r="G30" s="16" t="s">
        <v>182</v>
      </c>
      <c r="H30" s="16" t="s">
        <v>183</v>
      </c>
      <c r="I30" s="16" t="s">
        <v>183</v>
      </c>
      <c r="J30" s="34" t="s">
        <v>244</v>
      </c>
      <c r="K30" s="3" t="s">
        <v>95</v>
      </c>
    </row>
    <row r="31" spans="1:11" ht="80" customHeight="1" x14ac:dyDescent="0.35">
      <c r="A31" s="18" t="s">
        <v>184</v>
      </c>
      <c r="B31" s="19" t="s">
        <v>22</v>
      </c>
      <c r="C31" s="12" t="s">
        <v>178</v>
      </c>
      <c r="D31" s="13" t="s">
        <v>185</v>
      </c>
      <c r="E31" s="12" t="s">
        <v>180</v>
      </c>
      <c r="F31" s="12" t="s">
        <v>186</v>
      </c>
      <c r="G31" s="12" t="s">
        <v>187</v>
      </c>
      <c r="H31" s="12" t="s">
        <v>188</v>
      </c>
      <c r="I31" s="12" t="s">
        <v>188</v>
      </c>
      <c r="J31" s="34" t="s">
        <v>244</v>
      </c>
      <c r="K31" s="15" t="s">
        <v>23</v>
      </c>
    </row>
    <row r="32" spans="1:11" ht="80" customHeight="1" x14ac:dyDescent="0.35">
      <c r="A32" s="18" t="s">
        <v>279</v>
      </c>
      <c r="B32" s="19" t="s">
        <v>22</v>
      </c>
      <c r="C32" s="12" t="s">
        <v>283</v>
      </c>
      <c r="D32" s="13" t="s">
        <v>284</v>
      </c>
      <c r="E32" s="16" t="s">
        <v>133</v>
      </c>
      <c r="F32" s="33" t="s">
        <v>285</v>
      </c>
      <c r="G32" s="12" t="s">
        <v>286</v>
      </c>
      <c r="H32" s="12" t="s">
        <v>287</v>
      </c>
      <c r="I32" s="12" t="s">
        <v>287</v>
      </c>
      <c r="J32" s="34" t="s">
        <v>244</v>
      </c>
      <c r="K32" s="40" t="s">
        <v>17</v>
      </c>
    </row>
    <row r="33" spans="1:11" ht="80" customHeight="1" x14ac:dyDescent="0.35">
      <c r="A33" s="18" t="s">
        <v>280</v>
      </c>
      <c r="B33" s="19" t="s">
        <v>22</v>
      </c>
      <c r="C33" s="12" t="s">
        <v>288</v>
      </c>
      <c r="D33" s="13" t="s">
        <v>289</v>
      </c>
      <c r="E33" s="12" t="s">
        <v>168</v>
      </c>
      <c r="F33" s="33" t="s">
        <v>290</v>
      </c>
      <c r="G33" s="12" t="s">
        <v>291</v>
      </c>
      <c r="H33" s="12" t="s">
        <v>292</v>
      </c>
      <c r="I33" s="12" t="s">
        <v>292</v>
      </c>
      <c r="J33" s="34" t="s">
        <v>244</v>
      </c>
      <c r="K33" s="40" t="s">
        <v>23</v>
      </c>
    </row>
    <row r="34" spans="1:11" ht="80" customHeight="1" x14ac:dyDescent="0.35">
      <c r="A34" s="18" t="s">
        <v>281</v>
      </c>
      <c r="B34" s="19" t="s">
        <v>22</v>
      </c>
      <c r="C34" s="12" t="s">
        <v>293</v>
      </c>
      <c r="D34" s="13" t="s">
        <v>294</v>
      </c>
      <c r="E34" s="33" t="s">
        <v>303</v>
      </c>
      <c r="F34" s="33" t="s">
        <v>295</v>
      </c>
      <c r="G34" s="12" t="s">
        <v>296</v>
      </c>
      <c r="H34" s="33" t="s">
        <v>297</v>
      </c>
      <c r="I34" s="33" t="s">
        <v>297</v>
      </c>
      <c r="J34" s="34" t="s">
        <v>244</v>
      </c>
      <c r="K34" s="40" t="s">
        <v>17</v>
      </c>
    </row>
    <row r="35" spans="1:11" ht="80" customHeight="1" x14ac:dyDescent="0.35">
      <c r="A35" s="18" t="s">
        <v>282</v>
      </c>
      <c r="B35" s="19" t="s">
        <v>22</v>
      </c>
      <c r="C35" s="12" t="s">
        <v>298</v>
      </c>
      <c r="D35" s="13" t="s">
        <v>299</v>
      </c>
      <c r="E35" s="33" t="s">
        <v>303</v>
      </c>
      <c r="F35" s="33" t="s">
        <v>300</v>
      </c>
      <c r="G35" s="12" t="s">
        <v>301</v>
      </c>
      <c r="H35" s="12" t="s">
        <v>302</v>
      </c>
      <c r="I35" s="12" t="s">
        <v>302</v>
      </c>
      <c r="J35" s="34" t="s">
        <v>244</v>
      </c>
      <c r="K35" s="40" t="s">
        <v>17</v>
      </c>
    </row>
    <row r="36" spans="1:11" ht="80" customHeight="1" x14ac:dyDescent="0.35">
      <c r="A36" s="20" t="s">
        <v>189</v>
      </c>
      <c r="B36" s="21" t="s">
        <v>25</v>
      </c>
      <c r="C36" s="16" t="s">
        <v>190</v>
      </c>
      <c r="D36" s="17" t="s">
        <v>191</v>
      </c>
      <c r="E36" s="16" t="s">
        <v>192</v>
      </c>
      <c r="F36" s="16" t="s">
        <v>193</v>
      </c>
      <c r="G36" s="16" t="s">
        <v>194</v>
      </c>
      <c r="H36" s="16" t="s">
        <v>195</v>
      </c>
      <c r="I36" s="16" t="s">
        <v>195</v>
      </c>
      <c r="J36" s="34" t="s">
        <v>244</v>
      </c>
      <c r="K36" s="3" t="s">
        <v>17</v>
      </c>
    </row>
    <row r="37" spans="1:11" ht="80" customHeight="1" x14ac:dyDescent="0.35">
      <c r="A37" s="20" t="s">
        <v>24</v>
      </c>
      <c r="B37" s="21" t="s">
        <v>25</v>
      </c>
      <c r="C37" s="12" t="s">
        <v>190</v>
      </c>
      <c r="D37" s="13" t="s">
        <v>196</v>
      </c>
      <c r="E37" s="12" t="s">
        <v>197</v>
      </c>
      <c r="F37" s="12" t="s">
        <v>198</v>
      </c>
      <c r="G37" s="12" t="s">
        <v>199</v>
      </c>
      <c r="H37" s="12" t="s">
        <v>200</v>
      </c>
      <c r="I37" s="12" t="s">
        <v>200</v>
      </c>
      <c r="J37" s="34" t="s">
        <v>244</v>
      </c>
      <c r="K37" s="15" t="s">
        <v>17</v>
      </c>
    </row>
    <row r="38" spans="1:11" ht="80" customHeight="1" x14ac:dyDescent="0.35">
      <c r="A38" s="20" t="s">
        <v>201</v>
      </c>
      <c r="B38" s="21" t="s">
        <v>25</v>
      </c>
      <c r="C38" s="16" t="s">
        <v>190</v>
      </c>
      <c r="D38" s="17" t="s">
        <v>202</v>
      </c>
      <c r="E38" s="16" t="s">
        <v>197</v>
      </c>
      <c r="F38" s="16" t="s">
        <v>203</v>
      </c>
      <c r="G38" s="16" t="s">
        <v>204</v>
      </c>
      <c r="H38" s="16" t="s">
        <v>205</v>
      </c>
      <c r="I38" s="16" t="s">
        <v>205</v>
      </c>
      <c r="J38" s="34" t="s">
        <v>244</v>
      </c>
      <c r="K38" s="3" t="s">
        <v>17</v>
      </c>
    </row>
    <row r="39" spans="1:11" ht="80" customHeight="1" x14ac:dyDescent="0.35">
      <c r="A39" s="20" t="s">
        <v>206</v>
      </c>
      <c r="B39" s="21" t="s">
        <v>25</v>
      </c>
      <c r="C39" s="12" t="s">
        <v>190</v>
      </c>
      <c r="D39" s="13" t="s">
        <v>207</v>
      </c>
      <c r="E39" s="12" t="s">
        <v>197</v>
      </c>
      <c r="F39" s="12" t="s">
        <v>208</v>
      </c>
      <c r="G39" s="12" t="s">
        <v>209</v>
      </c>
      <c r="H39" s="12" t="s">
        <v>210</v>
      </c>
      <c r="I39" s="16" t="s">
        <v>215</v>
      </c>
      <c r="J39" s="34" t="s">
        <v>244</v>
      </c>
      <c r="K39" s="15" t="s">
        <v>23</v>
      </c>
    </row>
    <row r="40" spans="1:11" ht="80" customHeight="1" x14ac:dyDescent="0.35">
      <c r="A40" s="20" t="s">
        <v>26</v>
      </c>
      <c r="B40" s="21" t="s">
        <v>25</v>
      </c>
      <c r="C40" s="16" t="s">
        <v>190</v>
      </c>
      <c r="D40" s="17" t="s">
        <v>211</v>
      </c>
      <c r="E40" s="16" t="s">
        <v>212</v>
      </c>
      <c r="F40" s="16" t="s">
        <v>213</v>
      </c>
      <c r="G40" s="16" t="s">
        <v>214</v>
      </c>
      <c r="H40" s="16" t="s">
        <v>215</v>
      </c>
      <c r="I40" s="16" t="s">
        <v>215</v>
      </c>
      <c r="J40" s="34" t="s">
        <v>244</v>
      </c>
      <c r="K40" s="3" t="s">
        <v>17</v>
      </c>
    </row>
    <row r="41" spans="1:11" ht="80" customHeight="1" x14ac:dyDescent="0.35">
      <c r="A41" s="20" t="s">
        <v>216</v>
      </c>
      <c r="B41" s="21" t="s">
        <v>25</v>
      </c>
      <c r="C41" s="12" t="s">
        <v>217</v>
      </c>
      <c r="D41" s="13" t="s">
        <v>218</v>
      </c>
      <c r="E41" s="12" t="s">
        <v>219</v>
      </c>
      <c r="F41" s="12" t="s">
        <v>220</v>
      </c>
      <c r="G41" s="12" t="s">
        <v>106</v>
      </c>
      <c r="H41" s="12" t="s">
        <v>221</v>
      </c>
      <c r="I41" s="12" t="s">
        <v>221</v>
      </c>
      <c r="J41" s="34" t="s">
        <v>244</v>
      </c>
      <c r="K41" s="15" t="s">
        <v>23</v>
      </c>
    </row>
    <row r="42" spans="1:11" ht="80" customHeight="1" x14ac:dyDescent="0.35">
      <c r="A42" s="20" t="s">
        <v>222</v>
      </c>
      <c r="B42" s="21" t="s">
        <v>25</v>
      </c>
      <c r="C42" s="16" t="s">
        <v>223</v>
      </c>
      <c r="D42" s="17" t="s">
        <v>224</v>
      </c>
      <c r="E42" s="16" t="s">
        <v>225</v>
      </c>
      <c r="F42" s="16" t="s">
        <v>226</v>
      </c>
      <c r="G42" s="16" t="s">
        <v>106</v>
      </c>
      <c r="H42" s="16" t="s">
        <v>227</v>
      </c>
      <c r="I42" s="16" t="s">
        <v>227</v>
      </c>
      <c r="J42" s="34" t="s">
        <v>244</v>
      </c>
      <c r="K42" s="3" t="s">
        <v>17</v>
      </c>
    </row>
    <row r="43" spans="1:11" ht="80" customHeight="1" x14ac:dyDescent="0.35">
      <c r="A43" s="20" t="s">
        <v>228</v>
      </c>
      <c r="B43" s="21" t="s">
        <v>25</v>
      </c>
      <c r="C43" s="12" t="s">
        <v>229</v>
      </c>
      <c r="D43" s="13" t="s">
        <v>230</v>
      </c>
      <c r="E43" s="12" t="s">
        <v>231</v>
      </c>
      <c r="F43" s="12" t="s">
        <v>232</v>
      </c>
      <c r="G43" s="12" t="s">
        <v>106</v>
      </c>
      <c r="H43" s="12" t="s">
        <v>233</v>
      </c>
      <c r="I43" s="12" t="s">
        <v>233</v>
      </c>
      <c r="J43" s="34" t="s">
        <v>244</v>
      </c>
      <c r="K43" s="15" t="s">
        <v>23</v>
      </c>
    </row>
    <row r="44" spans="1:11" ht="80" customHeight="1" x14ac:dyDescent="0.35">
      <c r="A44" s="20" t="s">
        <v>234</v>
      </c>
      <c r="B44" s="21" t="s">
        <v>25</v>
      </c>
      <c r="C44" s="16" t="s">
        <v>190</v>
      </c>
      <c r="D44" s="17" t="s">
        <v>235</v>
      </c>
      <c r="E44" s="16" t="s">
        <v>197</v>
      </c>
      <c r="F44" s="16" t="s">
        <v>236</v>
      </c>
      <c r="G44" s="16" t="s">
        <v>237</v>
      </c>
      <c r="H44" s="16" t="s">
        <v>238</v>
      </c>
      <c r="I44" s="35" t="s">
        <v>304</v>
      </c>
      <c r="J44" s="34" t="s">
        <v>244</v>
      </c>
      <c r="K44" s="3" t="s">
        <v>95</v>
      </c>
    </row>
    <row r="45" spans="1:11" ht="80" customHeight="1" x14ac:dyDescent="0.35">
      <c r="A45" s="20" t="s">
        <v>239</v>
      </c>
      <c r="B45" s="21" t="s">
        <v>25</v>
      </c>
      <c r="C45" s="12" t="s">
        <v>190</v>
      </c>
      <c r="D45" s="13" t="s">
        <v>240</v>
      </c>
      <c r="E45" s="12" t="s">
        <v>197</v>
      </c>
      <c r="F45" s="12" t="s">
        <v>241</v>
      </c>
      <c r="G45" s="12" t="s">
        <v>242</v>
      </c>
      <c r="H45" s="12" t="s">
        <v>243</v>
      </c>
      <c r="I45" s="35" t="s">
        <v>305</v>
      </c>
      <c r="J45" s="34" t="s">
        <v>244</v>
      </c>
      <c r="K45" s="15" t="s">
        <v>23</v>
      </c>
    </row>
    <row r="46" spans="1:11" ht="80" customHeight="1" x14ac:dyDescent="0.35">
      <c r="A46" s="20" t="s">
        <v>306</v>
      </c>
      <c r="B46" s="21" t="s">
        <v>25</v>
      </c>
      <c r="C46" s="12" t="s">
        <v>190</v>
      </c>
      <c r="D46" s="13" t="s">
        <v>310</v>
      </c>
      <c r="E46" s="12" t="s">
        <v>197</v>
      </c>
      <c r="F46" s="33" t="s">
        <v>311</v>
      </c>
      <c r="G46" s="12" t="s">
        <v>312</v>
      </c>
      <c r="H46" s="12" t="s">
        <v>313</v>
      </c>
      <c r="I46" s="35" t="s">
        <v>305</v>
      </c>
      <c r="J46" s="34" t="s">
        <v>244</v>
      </c>
      <c r="K46" s="15" t="s">
        <v>23</v>
      </c>
    </row>
    <row r="47" spans="1:11" ht="83.5" customHeight="1" x14ac:dyDescent="0.35">
      <c r="A47" s="20" t="s">
        <v>307</v>
      </c>
      <c r="B47" s="21" t="s">
        <v>25</v>
      </c>
      <c r="C47" s="12" t="s">
        <v>314</v>
      </c>
      <c r="D47" s="13" t="s">
        <v>315</v>
      </c>
      <c r="E47" s="12" t="s">
        <v>197</v>
      </c>
      <c r="F47" s="33" t="s">
        <v>316</v>
      </c>
      <c r="G47" s="12" t="s">
        <v>317</v>
      </c>
      <c r="H47" s="12" t="s">
        <v>318</v>
      </c>
      <c r="I47" s="35" t="s">
        <v>319</v>
      </c>
      <c r="J47" s="34" t="s">
        <v>244</v>
      </c>
      <c r="K47" s="40" t="s">
        <v>17</v>
      </c>
    </row>
    <row r="48" spans="1:11" ht="80" customHeight="1" x14ac:dyDescent="0.35">
      <c r="A48" s="20" t="s">
        <v>308</v>
      </c>
      <c r="B48" s="21" t="s">
        <v>25</v>
      </c>
      <c r="C48" s="12" t="s">
        <v>320</v>
      </c>
      <c r="D48" s="13" t="s">
        <v>321</v>
      </c>
      <c r="E48" s="12" t="s">
        <v>197</v>
      </c>
      <c r="F48" s="33" t="s">
        <v>322</v>
      </c>
      <c r="G48" s="12" t="s">
        <v>323</v>
      </c>
      <c r="H48" s="12" t="s">
        <v>324</v>
      </c>
      <c r="I48" s="35" t="s">
        <v>325</v>
      </c>
      <c r="J48" s="34" t="s">
        <v>244</v>
      </c>
      <c r="K48" s="40" t="s">
        <v>23</v>
      </c>
    </row>
    <row r="49" spans="1:11" ht="80" customHeight="1" x14ac:dyDescent="0.35">
      <c r="A49" s="20" t="s">
        <v>309</v>
      </c>
      <c r="B49" s="21" t="s">
        <v>25</v>
      </c>
      <c r="C49" s="12" t="s">
        <v>326</v>
      </c>
      <c r="D49" s="13" t="s">
        <v>327</v>
      </c>
      <c r="E49" s="12" t="s">
        <v>197</v>
      </c>
      <c r="F49" s="33" t="s">
        <v>328</v>
      </c>
      <c r="G49" s="12" t="s">
        <v>329</v>
      </c>
      <c r="H49" s="12" t="s">
        <v>330</v>
      </c>
      <c r="I49" s="35" t="s">
        <v>331</v>
      </c>
      <c r="J49" s="34" t="s">
        <v>244</v>
      </c>
      <c r="K49" s="40" t="s">
        <v>23</v>
      </c>
    </row>
  </sheetData>
  <mergeCells count="2">
    <mergeCell ref="A2:K2"/>
    <mergeCell ref="A1:K1"/>
  </mergeCells>
  <phoneticPr fontId="14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4"/>
  <sheetViews>
    <sheetView zoomScale="50" zoomScaleNormal="50" workbookViewId="0">
      <pane ySplit="3" topLeftCell="A4" activePane="bottomLeft" state="frozen"/>
      <selection pane="bottomLeft" activeCell="L11" sqref="L11"/>
    </sheetView>
  </sheetViews>
  <sheetFormatPr defaultRowHeight="14.5" x14ac:dyDescent="0.35"/>
  <cols>
    <col min="1" max="2" width="12" customWidth="1"/>
    <col min="3" max="3" width="18" customWidth="1"/>
    <col min="4" max="4" width="30" customWidth="1"/>
    <col min="5" max="5" width="38" customWidth="1"/>
    <col min="6" max="6" width="47.54296875" customWidth="1"/>
    <col min="7" max="8" width="35" customWidth="1"/>
    <col min="9" max="10" width="12" customWidth="1"/>
    <col min="11" max="11" width="14" customWidth="1"/>
    <col min="12" max="12" width="18" customWidth="1"/>
  </cols>
  <sheetData>
    <row r="1" spans="1:12" ht="32" customHeight="1" x14ac:dyDescent="0.35">
      <c r="A1" s="29" t="s">
        <v>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</row>
    <row r="2" spans="1:12" ht="20" customHeight="1" x14ac:dyDescent="0.35">
      <c r="A2" s="31" t="s">
        <v>1</v>
      </c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</row>
    <row r="3" spans="1:12" ht="28" customHeight="1" x14ac:dyDescent="0.35">
      <c r="A3" s="9" t="s">
        <v>2</v>
      </c>
      <c r="B3" s="9" t="s">
        <v>3</v>
      </c>
      <c r="C3" s="9" t="s">
        <v>4</v>
      </c>
      <c r="D3" s="9" t="s">
        <v>5</v>
      </c>
      <c r="E3" s="9" t="s">
        <v>6</v>
      </c>
      <c r="F3" s="9" t="s">
        <v>7</v>
      </c>
      <c r="G3" s="9" t="s">
        <v>8</v>
      </c>
      <c r="H3" s="9" t="s">
        <v>9</v>
      </c>
      <c r="I3" s="9" t="s">
        <v>10</v>
      </c>
      <c r="J3" s="9" t="s">
        <v>11</v>
      </c>
      <c r="K3" s="9" t="s">
        <v>12</v>
      </c>
      <c r="L3" s="9" t="s">
        <v>13</v>
      </c>
    </row>
    <row r="4" spans="1:12" ht="170" customHeight="1" x14ac:dyDescent="0.35">
      <c r="A4" s="4" t="s">
        <v>14</v>
      </c>
      <c r="B4" s="38" t="s">
        <v>253</v>
      </c>
      <c r="C4" s="14" t="s">
        <v>16</v>
      </c>
      <c r="D4" s="42" t="s">
        <v>332</v>
      </c>
      <c r="E4" s="14" t="s">
        <v>247</v>
      </c>
      <c r="F4" s="35" t="s">
        <v>333</v>
      </c>
      <c r="G4" s="14" t="s">
        <v>334</v>
      </c>
      <c r="H4" s="14" t="s">
        <v>335</v>
      </c>
      <c r="I4" s="22" t="s">
        <v>17</v>
      </c>
      <c r="J4" s="22" t="s">
        <v>17</v>
      </c>
      <c r="K4" s="4" t="s">
        <v>18</v>
      </c>
      <c r="L4" s="14" t="s">
        <v>19</v>
      </c>
    </row>
  </sheetData>
  <mergeCells count="2">
    <mergeCell ref="A2:L2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 Dashboard</vt:lpstr>
      <vt:lpstr>Test Cases</vt:lpstr>
      <vt:lpstr>Bug Reports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Twisha Aggarwal</cp:lastModifiedBy>
  <dcterms:created xsi:type="dcterms:W3CDTF">2026-06-21T08:55:51Z</dcterms:created>
  <dcterms:modified xsi:type="dcterms:W3CDTF">2026-06-21T10:55:50Z</dcterms:modified>
</cp:coreProperties>
</file>